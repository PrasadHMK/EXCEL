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15fef69187f4236" /></Relationships>
</file>

<file path=xl/workbook.xml><?xml version="1.0" encoding="utf-8"?>
<x:workbook xmlns:x="http://schemas.openxmlformats.org/spreadsheetml/2006/main">
  <x:sheets>
    <x:sheet xmlns:r="http://schemas.openxmlformats.org/officeDocument/2006/relationships" name="Summary" sheetId="1" r:id="R1394ab27e7a342fc"/>
    <x:sheet xmlns:r="http://schemas.openxmlformats.org/officeDocument/2006/relationships" name="Jira Stories" sheetId="2" r:id="R3bf1855c64ed4f36"/>
    <x:sheet xmlns:r="http://schemas.openxmlformats.org/officeDocument/2006/relationships" name="Acceptance Criteria" sheetId="3" r:id="Rdeb70cfa871e48cc"/>
    <x:sheet xmlns:r="http://schemas.openxmlformats.org/officeDocument/2006/relationships" name="Assumptions and Decisions" sheetId="4" r:id="R5782850c042d4c5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sz val="11"/>
      <x:color rgb="FF243B53"/>
      <x:name val="Arial"/>
    </x:font>
    <x:font>
      <x:b/>
      <x:sz val="16"/>
      <x:color rgb="FF243B53"/>
      <x:name val="Arial"/>
    </x:font>
    <x:font>
      <x:b/>
      <x:sz val="11"/>
      <x:color rgb="FFFFFFFF"/>
      <x:name val="Arial"/>
    </x:font>
  </x:fonts>
  <x:fills count="4">
    <x:fill>
      <x:patternFill patternType="none"/>
    </x:fill>
    <x:fill>
      <x:patternFill patternType="gray125"/>
    </x:fill>
    <x:fill>
      <x:patternFill patternType="solid">
        <x:fgColor rgb="FF243B53"/>
      </x:patternFill>
    </x:fill>
    <x:fill>
      <x:patternFill patternType="solid">
        <x:fgColor rgb="FFFFF2CC"/>
      </x:patternFill>
    </x:fill>
  </x:fills>
  <x:borders count="2">
    <x:border/>
    <x:border>
      <x:bottom style="thin">
        <x:color rgb="FF243B53"/>
      </x:bottom>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0" fontId="3" fillId="2" borderId="0" xfId="0" applyNumberFormat="1" applyFont="1" applyFill="1" applyBorder="1" applyAlignment="1">
      <x:alignment horizontal="center" vertical="center" wrapText="1"/>
    </x:xf>
    <x:xf numFmtId="200" fontId="1"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b1e298e913842c4" /><Relationship Type="http://schemas.openxmlformats.org/officeDocument/2006/relationships/theme" Target="/xl/theme/theme1.xml" Id="R83a3cf9a92c64320" /><Relationship Type="http://schemas.openxmlformats.org/officeDocument/2006/relationships/sharedStrings" Target="/xl/sharedStrings.xml" Id="R0766f83fcb984b06" /><Relationship Type="http://schemas.openxmlformats.org/officeDocument/2006/relationships/worksheet" Target="/xl/worksheets/sheet1.xml" Id="R1394ab27e7a342fc" /><Relationship Type="http://schemas.openxmlformats.org/officeDocument/2006/relationships/worksheet" Target="/xl/worksheets/sheet2.xml" Id="R3bf1855c64ed4f36" /><Relationship Type="http://schemas.openxmlformats.org/officeDocument/2006/relationships/worksheet" Target="/xl/worksheets/sheet3.xml" Id="Rdeb70cfa871e48cc" /><Relationship Type="http://schemas.openxmlformats.org/officeDocument/2006/relationships/worksheet" Target="/xl/worksheets/sheet4.xml" Id="R5782850c042d4c5f" /></Relationships>
</file>

<file path=xl/tables/table1.xml><?xml version="1.0" encoding="utf-8"?>
<x:table xmlns:x="http://schemas.openxmlformats.org/spreadsheetml/2006/main" id="1" name="JiraStories" displayName="JiraStories" ref="A4:J18" headerRowCount="1" totalsRowCount="0" totalsRowShown="0">
  <x:tableColumns count="10">
    <x:tableColumn id="1" name="Story ID"/>
    <x:tableColumn id="2" name="Epic"/>
    <x:tableColumn id="3" name="Summary"/>
    <x:tableColumn id="4" name="Priority"/>
    <x:tableColumn id="5" name="Story points"/>
    <x:tableColumn id="6" name="Sprint"/>
    <x:tableColumn id="7" name="Scope"/>
    <x:tableColumn id="8" name="Description"/>
    <x:tableColumn id="9" name="Proposed solution"/>
    <x:tableColumn id="10" name="Dependencies"/>
  </x:tableColumns>
  <x:tableStyleInfo name="TableStyleMedium2" showFirstColumn="0" showLastColumn="0" showRowStripes="1" showColumnStripes="0"/>
</x:table>
</file>

<file path=xl/tables/table2.xml><?xml version="1.0" encoding="utf-8"?>
<x:table xmlns:x="http://schemas.openxmlformats.org/spreadsheetml/2006/main" id="2" name="AcceptanceCriteria" displayName="AcceptanceCriteria" ref="A4:C98" headerRowCount="1" totalsRowCount="0" totalsRowShown="0">
  <x:tableColumns count="3">
    <x:tableColumn id="1" name="Story ID"/>
    <x:tableColumn id="2" name="Criterion ID"/>
    <x:tableColumn id="3" name="Acceptance criterion"/>
  </x:tableColumns>
  <x:tableStyleInfo name="TableStyleMedium2" showFirstColumn="0" showLastColumn="0" showRowStripes="1" showColumnStripes="0"/>
</x:table>
</file>

<file path=xl/tables/table3.xml><?xml version="1.0" encoding="utf-8"?>
<x:table xmlns:x="http://schemas.openxmlformats.org/spreadsheetml/2006/main" id="3" name="PlanningNotes" displayName="PlanningNotes" ref="A4:C22" headerRowCount="1" totalsRowCount="0" totalsRowShown="0">
  <x:tableColumns count="3">
    <x:tableColumn id="1" name="Category"/>
    <x:tableColumn id="2" name="Topic"/>
    <x:tableColumn id="3" name="Detai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570bae2554b4082" /></Relationships>
</file>

<file path=xl/worksheets/_rels/sheet3.xml.rels>&#65279;<?xml version="1.0" encoding="utf-8"?><Relationships xmlns="http://schemas.openxmlformats.org/package/2006/relationships"><Relationship Type="http://schemas.openxmlformats.org/officeDocument/2006/relationships/table" Target="/xl/tables/table2.xml" Id="R247784668af843a1" /></Relationships>
</file>

<file path=xl/worksheets/_rels/sheet4.xml.rels>&#65279;<?xml version="1.0" encoding="utf-8"?><Relationships xmlns="http://schemas.openxmlformats.org/package/2006/relationships"><Relationship Type="http://schemas.openxmlformats.org/officeDocument/2006/relationships/table" Target="/xl/tables/table3.xml" Id="R7f86c70cd91e45d1" /></Relationships>
</file>

<file path=xl/worksheets/sheet1.xml><?xml version="1.0" encoding="utf-8"?>
<x:worksheet xmlns:x="http://schemas.openxmlformats.org/spreadsheetml/2006/main">
  <x:sheetPr>
    <x:tabColor rgb="FF243B53"/>
  </x:sheetPr>
  <x:sheetViews>
    <x:sheetView showGridLines="0" workbookViewId="0"/>
  </x:sheetViews>
  <x:sheetFormatPr defaultRowHeight="15"/>
  <x:cols>
    <x:col min="1" max="1" width="37" hidden="0" customWidth="1"/>
    <x:col min="2" max="2" width="17" hidden="0" customWidth="1"/>
    <x:col min="3" max="3" width="45" hidden="0" customWidth="1"/>
    <x:col min="4" max="4" width="18" hidden="0" customWidth="1"/>
    <x:col min="5" max="5" width="18" hidden="0" customWidth="1"/>
    <x:col min="6" max="6" width="25" hidden="0" customWidth="1"/>
  </x:cols>
  <x:sheetData>
    <x:row r="1">
      <x:c r="A1" s="2"/>
      <x:c r="B1" s="2"/>
      <x:c r="C1" s="2"/>
      <x:c r="D1" s="2"/>
      <x:c r="E1" s="2"/>
      <x:c r="F1" s="2"/>
    </x:row>
    <x:row r="2">
      <x:c r="A2" s="3" t="str">
        <x:v>Free Tier delivery estimate</x:v>
      </x:c>
      <x:c r="B2" s="2"/>
      <x:c r="C2" s="2"/>
      <x:c r="D2" s="2"/>
      <x:c r="E2" s="2"/>
      <x:c r="F2" s="2"/>
    </x:row>
    <x:row r="3">
      <x:c r="A3" s="4"/>
      <x:c r="B3" s="4"/>
      <x:c r="C3" s="4"/>
      <x:c r="D3" s="4"/>
      <x:c r="E3" s="4"/>
      <x:c r="F3" s="4"/>
    </x:row>
    <x:row r="4">
      <x:c r="A4" s="2"/>
      <x:c r="B4" s="2"/>
      <x:c r="C4" s="2"/>
      <x:c r="D4" s="2"/>
      <x:c r="E4" s="2"/>
      <x:c r="F4" s="2"/>
    </x:row>
    <x:row r="5" ht="26" customHeight="1">
      <x:c r="A5" s="8" t="str">
        <x:v>Planning metric</x:v>
      </x:c>
      <x:c r="B5" s="8" t="str">
        <x:v>Value</x:v>
      </x:c>
      <x:c r="C5" s="2"/>
      <x:c r="D5" s="2"/>
      <x:c r="E5" s="2"/>
      <x:c r="F5" s="2"/>
    </x:row>
    <x:row r="6" ht="26" customHeight="1">
      <x:c r="A6" s="2" t="str">
        <x:v>Total stories</x:v>
      </x:c>
      <x:c r="B6" s="15" t="n">
        <x:f>COUNTA('Jira Stories'!A5:A18)</x:f>
        <x:v>14</x:v>
      </x:c>
      <x:c r="C6" s="2"/>
      <x:c r="D6" s="2"/>
      <x:c r="E6" s="2"/>
      <x:c r="F6" s="2"/>
    </x:row>
    <x:row r="7" ht="26" customHeight="1">
      <x:c r="A7" s="2" t="str">
        <x:v>Full-scope story points</x:v>
      </x:c>
      <x:c r="B7" s="15" t="n">
        <x:f>SUM('Jira Stories'!E5:E18)</x:f>
        <x:v>75</x:v>
      </x:c>
      <x:c r="C7" s="2"/>
      <x:c r="D7" s="2"/>
      <x:c r="E7" s="2"/>
      <x:c r="F7" s="2"/>
    </x:row>
    <x:row r="8" ht="26" customHeight="1">
      <x:c r="A8" s="2" t="str">
        <x:v>Conditional points</x:v>
      </x:c>
      <x:c r="B8" s="15" t="n">
        <x:f>SUMIFS('Jira Stories'!E5:E18,'Jira Stories'!G5:G18,"Conditional")</x:f>
        <x:v>15</x:v>
      </x:c>
      <x:c r="C8" s="2"/>
      <x:c r="D8" s="2"/>
      <x:c r="E8" s="2"/>
      <x:c r="F8" s="2"/>
    </x:row>
    <x:row r="9" ht="26" customHeight="1">
      <x:c r="A9" s="2" t="str">
        <x:v>Core points</x:v>
      </x:c>
      <x:c r="B9" s="15" t="n">
        <x:f>B7-B8</x:f>
        <x:v>60</x:v>
      </x:c>
      <x:c r="C9" s="2"/>
      <x:c r="D9" s="2"/>
      <x:c r="E9" s="2"/>
      <x:c r="F9" s="2"/>
    </x:row>
    <x:row r="10" ht="26" customHeight="1">
      <x:c r="A10" s="2" t="str">
        <x:v>Full-scope sprints</x:v>
      </x:c>
      <x:c r="B10" s="15" t="n">
        <x:f>ROUNDUP(B7/B19,0)</x:f>
        <x:v>5</x:v>
      </x:c>
      <x:c r="C10" s="2"/>
      <x:c r="D10" s="2"/>
      <x:c r="E10" s="2"/>
      <x:c r="F10" s="2"/>
    </x:row>
    <x:row r="11" ht="26" customHeight="1">
      <x:c r="A11" s="2" t="str">
        <x:v>Full-scope weeks</x:v>
      </x:c>
      <x:c r="B11" s="15" t="n">
        <x:f>B10*B18</x:f>
        <x:v>10</x:v>
      </x:c>
      <x:c r="C11" s="2"/>
      <x:c r="D11" s="2"/>
      <x:c r="E11" s="2"/>
      <x:c r="F11" s="2"/>
    </x:row>
    <x:row r="12" ht="26" customHeight="1">
      <x:c r="A12" s="2" t="str">
        <x:v>Sprints with contingency</x:v>
      </x:c>
      <x:c r="B12" s="15" t="n">
        <x:f>B10+B21</x:f>
        <x:v>6</x:v>
      </x:c>
      <x:c r="C12" s="2"/>
      <x:c r="D12" s="2"/>
      <x:c r="E12" s="2"/>
      <x:c r="F12" s="2"/>
    </x:row>
    <x:row r="13" ht="26" customHeight="1">
      <x:c r="A13" s="2" t="str">
        <x:v>Weeks with contingency</x:v>
      </x:c>
      <x:c r="B13" s="15" t="n">
        <x:f>B12*B18</x:f>
        <x:v>12</x:v>
      </x:c>
      <x:c r="C13" s="2"/>
      <x:c r="D13" s="2"/>
      <x:c r="E13" s="2"/>
      <x:c r="F13" s="2"/>
    </x:row>
    <x:row r="14" ht="26" customHeight="1">
      <x:c r="A14" s="2" t="str">
        <x:v>Core-scope sprints</x:v>
      </x:c>
      <x:c r="B14" s="15" t="n">
        <x:f>ROUNDUP(B9/B19,0)</x:f>
        <x:v>4</x:v>
      </x:c>
      <x:c r="C14" s="2"/>
      <x:c r="D14" s="2"/>
      <x:c r="E14" s="2"/>
      <x:c r="F14" s="2"/>
    </x:row>
    <x:row r="15">
      <x:c r="A15" s="2"/>
      <x:c r="B15" s="15"/>
      <x:c r="C15" s="2"/>
      <x:c r="D15" s="2"/>
      <x:c r="E15" s="2"/>
      <x:c r="F15" s="2"/>
    </x:row>
    <x:row r="16" ht="32" customHeight="1">
      <x:c r="A16" s="8" t="str">
        <x:v>Capacity assumptions</x:v>
      </x:c>
      <x:c r="B16" s="16" t="str">
        <x:v>Value</x:v>
      </x:c>
      <x:c r="C16" s="8" t="str">
        <x:v>Meaning</x:v>
      </x:c>
      <x:c r="D16" s="2"/>
      <x:c r="E16" s="2"/>
      <x:c r="F16" s="2"/>
    </x:row>
    <x:row r="17" ht="34" customHeight="1">
      <x:c r="A17" s="9" t="str">
        <x:v>Full-time resources</x:v>
      </x:c>
      <x:c r="B17" s="17" t="n">
        <x:v>2</x:v>
      </x:c>
      <x:c r="C17" s="9" t="str">
        <x:v>Salesforce/integration + Agentforce/configuration</x:v>
      </x:c>
      <x:c r="D17" s="2"/>
      <x:c r="E17" s="2"/>
      <x:c r="F17" s="2"/>
    </x:row>
    <x:row r="18" ht="34" customHeight="1">
      <x:c r="A18" s="9" t="str">
        <x:v>Sprint length (weeks)</x:v>
      </x:c>
      <x:c r="B18" s="17" t="n">
        <x:v>2</x:v>
      </x:c>
      <x:c r="C18" s="9" t="str">
        <x:v>Two-week sprints</x:v>
      </x:c>
      <x:c r="D18" s="2"/>
      <x:c r="E18" s="2"/>
      <x:c r="F18" s="2"/>
    </x:row>
    <x:row r="19" ht="34" customHeight="1">
      <x:c r="A19" s="9" t="str">
        <x:v>Planning team velocity</x:v>
      </x:c>
      <x:c r="B19" s="17" t="n">
        <x:v>15</x:v>
      </x:c>
      <x:c r="C19" s="9" t="str">
        <x:v>Story points per sprint for the two-person team</x:v>
      </x:c>
      <x:c r="D19" s="2"/>
      <x:c r="E19" s="2"/>
      <x:c r="F19" s="2"/>
    </x:row>
    <x:row r="20" ht="34" customHeight="1">
      <x:c r="A20" s="9" t="str">
        <x:v>Upper assumed velocity</x:v>
      </x:c>
      <x:c r="B20" s="17" t="n">
        <x:v>18</x:v>
      </x:c>
      <x:c r="C20" s="9" t="str">
        <x:v>Preliminary range: 15–18 points per sprint</x:v>
      </x:c>
      <x:c r="D20" s="2"/>
      <x:c r="E20" s="2"/>
      <x:c r="F20" s="2"/>
    </x:row>
    <x:row r="21" ht="34" customHeight="1">
      <x:c r="A21" s="9" t="str">
        <x:v>Contingency (sprints)</x:v>
      </x:c>
      <x:c r="B21" s="17" t="n">
        <x:v>1</x:v>
      </x:c>
      <x:c r="C21" s="9" t="str">
        <x:v>Dependency, decision, and UAT schedule buffer</x:v>
      </x:c>
      <x:c r="D21" s="2"/>
      <x:c r="E21" s="2"/>
      <x:c r="F21" s="2"/>
    </x:row>
    <x:row r="22">
      <x:c r="A22" s="2"/>
      <x:c r="B22" s="2"/>
      <x:c r="C22" s="2"/>
      <x:c r="D22" s="2"/>
      <x:c r="E22" s="2"/>
      <x:c r="F22" s="2"/>
    </x:row>
    <x:row r="23">
      <x:c r="A23" s="2"/>
      <x:c r="B23" s="2"/>
      <x:c r="C23" s="2"/>
      <x:c r="D23" s="2"/>
      <x:c r="E23" s="2"/>
      <x:c r="F23" s="2"/>
    </x:row>
    <x:row r="24" ht="32" customHeight="1">
      <x:c r="A24" s="8" t="str">
        <x:v>Sprint</x:v>
      </x:c>
      <x:c r="B24" s="8" t="str">
        <x:v>Points</x:v>
      </x:c>
      <x:c r="C24" s="8" t="str">
        <x:v>Stories</x:v>
      </x:c>
      <x:c r="D24" s="8" t="str">
        <x:v>Outcome</x:v>
      </x:c>
      <x:c r="E24" s="2"/>
      <x:c r="F24" s="2"/>
    </x:row>
    <x:row r="25" ht="34" customHeight="1">
      <x:c r="A25" s="2" t="n">
        <x:v>1</x:v>
      </x:c>
      <x:c r="B25" s="2" t="n">
        <x:f>SUMIFS('Jira Stories'!$E$5:$E$18,'Jira Stories'!$F$5:$F$18,A25)</x:f>
        <x:v>18</x:v>
      </x:c>
      <x:c r="C25" s="2" t="str">
        <x:v>FT-01, FT-02, FT-03</x:v>
      </x:c>
      <x:c r="D25" s="9" t="str">
        <x:v>Data and UI</x:v>
      </x:c>
      <x:c r="E25" s="2"/>
      <x:c r="F25" s="2"/>
    </x:row>
    <x:row r="26" ht="34" customHeight="1">
      <x:c r="A26" s="2" t="n">
        <x:v>2</x:v>
      </x:c>
      <x:c r="B26" s="2" t="n">
        <x:f>SUMIFS('Jira Stories'!$E$5:$E$18,'Jira Stories'!$F$5:$F$18,A26)</x:f>
        <x:v>18</x:v>
      </x:c>
      <x:c r="C26" s="2" t="str">
        <x:v>FT-04, FT-05, FT-06, FT-07</x:v>
      </x:c>
      <x:c r="D26" s="9" t="str">
        <x:v>Trials and Cases</x:v>
      </x:c>
      <x:c r="E26" s="2"/>
      <x:c r="F26" s="2"/>
    </x:row>
    <x:row r="27" ht="34" customHeight="1">
      <x:c r="A27" s="2" t="n">
        <x:v>3</x:v>
      </x:c>
      <x:c r="B27" s="2" t="n">
        <x:f>SUMIFS('Jira Stories'!$E$5:$E$18,'Jira Stories'!$F$5:$F$18,A27)</x:f>
        <x:v>13</x:v>
      </x:c>
      <x:c r="C27" s="2" t="str">
        <x:v>FT-08, FT-09, FT-10</x:v>
      </x:c>
      <x:c r="D27" s="9" t="str">
        <x:v>Routing and Agentforce</x:v>
      </x:c>
      <x:c r="E27" s="2"/>
      <x:c r="F27" s="2"/>
    </x:row>
    <x:row r="28" ht="34" customHeight="1">
      <x:c r="A28" s="2" t="n">
        <x:v>4</x:v>
      </x:c>
      <x:c r="B28" s="2" t="n">
        <x:f>SUMIFS('Jira Stories'!$E$5:$E$18,'Jira Stories'!$F$5:$F$18,A28)</x:f>
        <x:v>13</x:v>
      </x:c>
      <x:c r="C28" s="2" t="str">
        <x:v>FT-11, FT-12</x:v>
      </x:c>
      <x:c r="D28" s="9" t="str">
        <x:v>Use cases and IVR</x:v>
      </x:c>
      <x:c r="E28" s="2"/>
      <x:c r="F28" s="2"/>
    </x:row>
    <x:row r="29" ht="34" customHeight="1">
      <x:c r="A29" s="2" t="n">
        <x:v>5</x:v>
      </x:c>
      <x:c r="B29" s="2" t="n">
        <x:f>SUMIFS('Jira Stories'!$E$5:$E$18,'Jira Stories'!$F$5:$F$18,A29)</x:f>
        <x:v>13</x:v>
      </x:c>
      <x:c r="C29" s="2" t="str">
        <x:v>FT-13, FT-14</x:v>
      </x:c>
      <x:c r="D29" s="9" t="str">
        <x:v>Reports, UAT, release</x:v>
      </x:c>
      <x:c r="E29" s="2"/>
      <x:c r="F29" s="2"/>
    </x:row>
    <x:row r="30">
      <x:c r="A30" s="2"/>
      <x:c r="B30" s="2"/>
      <x:c r="C30" s="2"/>
      <x:c r="D30" s="2"/>
      <x:c r="E30" s="2"/>
      <x:c r="F30" s="2"/>
    </x:row>
    <x:row r="31">
      <x:c r="A31" s="2" t="str">
        <x:v>Amber cells are editable estimates. Team velocity already includes both resources.</x:v>
      </x:c>
      <x:c r="B31" s="2"/>
      <x:c r="C31" s="2"/>
      <x:c r="D31" s="2"/>
      <x:c r="E31" s="2"/>
      <x:c r="F31" s="2"/>
    </x:row>
    <x:row r="32">
      <x:c r="A32" s="2" t="str">
        <x:v>Points are relative effort, not developer-days. Re-estimate with actual team velocity.</x:v>
      </x:c>
      <x:c r="B32" s="2"/>
      <x:c r="C32" s="2"/>
      <x:c r="D32" s="2"/>
      <x:c r="E32" s="2"/>
      <x:c r="F32" s="2"/>
    </x:row>
    <x:row r="33">
      <x:c r="A33" s="2" t="str">
        <x:v>Sprint allocation is provisional; changing point estimates may require manual rebalancing.</x:v>
      </x:c>
      <x:c r="B33" s="2"/>
      <x:c r="C33" s="2"/>
      <x:c r="D33" s="2"/>
      <x:c r="E33" s="2"/>
      <x:c r="F33" s="2"/>
    </x:row>
    <x:row r="34">
      <x:c r="A34" s="2" t="str">
        <x:v>Core-only scope excludes 15 conditional points; retain required impact assessments.</x:v>
      </x:c>
      <x:c r="B34" s="2"/>
      <x:c r="C34" s="2"/>
      <x:c r="D34" s="2"/>
      <x:c r="E34" s="2"/>
      <x:c r="F34" s="2"/>
    </x:row>
    <x:row r="35">
      <x:c r="A35" s="2" t="str">
        <x:v>Detailed assumptions, open decisions, and exclusions are on Assumptions and Decisions.</x:v>
      </x:c>
      <x:c r="B35" s="2"/>
      <x:c r="C35" s="2"/>
      <x:c r="D35" s="2"/>
      <x:c r="E35" s="2"/>
      <x:c r="F35" s="2"/>
    </x:row>
  </x:sheetData>
  <x:dataValidations count="1">
    <x:dataValidation type="whole" operator="between" sqref="B17:B21">
      <x:formula1>1</x:formula1>
      <x:formula2>100</x:formula2>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27" hidden="0" customWidth="1"/>
    <x:col min="3" max="3" width="43" hidden="0" customWidth="1"/>
    <x:col min="4" max="4" width="10" hidden="0" customWidth="1"/>
    <x:col min="5" max="5" width="12" hidden="0" customWidth="1"/>
    <x:col min="6" max="6" width="9" hidden="0" customWidth="1"/>
    <x:col min="7" max="7" width="15" hidden="0" customWidth="1"/>
    <x:col min="8" max="8" width="64" hidden="0" customWidth="1"/>
    <x:col min="9" max="9" width="80" hidden="0" customWidth="1"/>
    <x:col min="10" max="10" width="40" hidden="0" customWidth="1"/>
  </x:cols>
  <x:sheetData>
    <x:row r="1">
      <x:c r="A1" s="2"/>
      <x:c r="B1" s="2"/>
      <x:c r="C1" s="2"/>
      <x:c r="D1" s="2"/>
      <x:c r="E1" s="2"/>
      <x:c r="F1" s="2"/>
      <x:c r="G1" s="2"/>
      <x:c r="H1" s="2"/>
      <x:c r="I1" s="2"/>
      <x:c r="J1" s="2"/>
    </x:row>
    <x:row r="2">
      <x:c r="A2" s="3" t="str">
        <x:v>Free Tier Jira stories</x:v>
      </x:c>
      <x:c r="B2" s="2"/>
      <x:c r="C2" s="2"/>
      <x:c r="D2" s="2"/>
      <x:c r="E2" s="2"/>
      <x:c r="F2" s="2"/>
      <x:c r="G2" s="2"/>
      <x:c r="H2" s="2"/>
      <x:c r="I2" s="2"/>
      <x:c r="J2" s="2"/>
    </x:row>
    <x:row r="3">
      <x:c r="A3" s="4"/>
      <x:c r="B3" s="4"/>
      <x:c r="C3" s="4"/>
      <x:c r="D3" s="4"/>
      <x:c r="E3" s="4"/>
      <x:c r="F3" s="4"/>
      <x:c r="G3" s="4"/>
      <x:c r="H3" s="4"/>
      <x:c r="I3" s="4"/>
      <x:c r="J3" s="4"/>
    </x:row>
    <x:row r="4" ht="32" customHeight="1">
      <x:c r="A4" s="8" t="str">
        <x:v>Story ID</x:v>
      </x:c>
      <x:c r="B4" s="8" t="str">
        <x:v>Epic</x:v>
      </x:c>
      <x:c r="C4" s="8" t="str">
        <x:v>Summary</x:v>
      </x:c>
      <x:c r="D4" s="8" t="str">
        <x:v>Priority</x:v>
      </x:c>
      <x:c r="E4" s="8" t="str">
        <x:v>Story points</x:v>
      </x:c>
      <x:c r="F4" s="8" t="str">
        <x:v>Sprint</x:v>
      </x:c>
      <x:c r="G4" s="8" t="str">
        <x:v>Scope</x:v>
      </x:c>
      <x:c r="H4" s="8" t="str">
        <x:v>Description</x:v>
      </x:c>
      <x:c r="I4" s="8" t="str">
        <x:v>Proposed solution</x:v>
      </x:c>
      <x:c r="J4" s="8" t="str">
        <x:v>Dependencies</x:v>
      </x:c>
    </x:row>
    <x:row r="5" ht="135" customHeight="1">
      <x:c r="A5" s="10" t="str">
        <x:v>FT-01</x:v>
      </x:c>
      <x:c r="B5" s="10" t="str">
        <x:v>Consumer record and integration</x:v>
      </x:c>
      <x:c r="C5" s="10" t="str">
        <x:v>Define Free Tier data contract and business rules</x:v>
      </x:c>
      <x:c r="D5" s="10" t="str">
        <x:v>P0</x:v>
      </x:c>
      <x:c r="E5" s="12" t="n">
        <x:v>5</x:v>
      </x:c>
      <x:c r="F5" s="12" t="n">
        <x:v>1</x:v>
      </x:c>
      <x:c r="G5" s="10" t="str">
        <x:v>Core</x:v>
      </x:c>
      <x:c r="H5" s="10" t="str">
        <x:v>As a CareTools team, we need an agreed data contract and lifecycle rules so Consumer records, Agentforce, and reporting use consistent Free Tier information.</x:v>
      </x:c>
      <x:c r="I5" s="10" t="str">
        <x:v>Map source and target fields for Free Tier Status, Effective Date, Previous State, and Free Trial Previously Used. Define field types, allowed values, ownership, refresh expectations, null handling, and entitlement precedence. Confirm source versus derived trial history, initial population, and Premium-to-Free transition timing.</x:v>
      </x:c>
      <x:c r="J5" s="10" t="str">
        <x:v>Business owner and upstream-system owner availability</x:v>
      </x:c>
    </x:row>
    <x:row r="6" ht="135" customHeight="1">
      <x:c r="A6" s="10" t="str">
        <x:v>FT-02</x:v>
      </x:c>
      <x:c r="B6" s="10" t="str">
        <x:v>Consumer record and integration</x:v>
      </x:c>
      <x:c r="C6" s="10" t="str">
        <x:v>Create and populate dedicated Free Tier Consumer fields</x:v>
      </x:c>
      <x:c r="D6" s="10" t="str">
        <x:v>P0</x:v>
      </x:c>
      <x:c r="E6" s="12" t="n">
        <x:v>8</x:v>
      </x:c>
      <x:c r="F6" s="12" t="n">
        <x:v>1</x:v>
      </x:c>
      <x:c r="G6" s="10" t="str">
        <x:v>Core</x:v>
      </x:c>
      <x:c r="H6" s="10" t="str">
        <x:v>As a Care representative, I need reliable Free Tier information on the Consumer record so I can identify current entitlement.</x:v>
      </x:c>
      <x:c r="I6" s="10" t="str">
        <x:v>Create or map the dedicated fields from FT-01. Extend the existing integration with operational error logging and safe retries. Populate existing eligible Consumers using the agreed initial-load approach. Apply permissions consistent with subscription-data ownership.</x:v>
      </x:c>
      <x:c r="J6" s="10" t="str">
        <x:v>FT-01; source data and integration access</x:v>
      </x:c>
    </x:row>
    <x:row r="7" ht="135" customHeight="1">
      <x:c r="A7" s="10" t="str">
        <x:v>FT-03</x:v>
      </x:c>
      <x:c r="B7" s="10" t="str">
        <x:v>Consumer record and integration</x:v>
      </x:c>
      <x:c r="C7" s="10" t="str">
        <x:v>Display Free Tier details on Online Accounts</x:v>
      </x:c>
      <x:c r="D7" s="10" t="str">
        <x:v>P0</x:v>
      </x:c>
      <x:c r="E7" s="12" t="n">
        <x:v>5</x:v>
      </x:c>
      <x:c r="F7" s="12" t="n">
        <x:v>1</x:v>
      </x:c>
      <x:c r="G7" s="10" t="str">
        <x:v>Core</x:v>
      </x:c>
      <x:c r="H7" s="10" t="str">
        <x:v>As a Care representative, I want to identify Free Tier Consumers from Online Accounts without confusing Free Tier entitlement with paid-subscription information.</x:v>
      </x:c>
      <x:c r="I7" s="10" t="str">
        <x:v>Add a labeled Free Tier section for status, effective date, and previous state. Keep existing Type and historical paid details separate. Display Current End Date and Autorenewal as blank for the Free Tier context. Do not delete historical paid values to meet a display requirement.</x:v>
      </x:c>
      <x:c r="J7" s="10" t="str">
        <x:v>FT-02</x:v>
      </x:c>
    </x:row>
    <x:row r="8" ht="135" customHeight="1">
      <x:c r="A8" s="10" t="str">
        <x:v>FT-04</x:v>
      </x:c>
      <x:c r="B8" s="10" t="str">
        <x:v>Consumer record and integration</x:v>
      </x:c>
      <x:c r="C8" s="10" t="str">
        <x:v>Display previous free-trial usage</x:v>
      </x:c>
      <x:c r="D8" s="10" t="str">
        <x:v>P0</x:v>
      </x:c>
      <x:c r="E8" s="12" t="n">
        <x:v>5</x:v>
      </x:c>
      <x:c r="F8" s="12" t="n">
        <x:v>2</x:v>
      </x:c>
      <x:c r="G8" s="10" t="str">
        <x:v>Core</x:v>
      </x:c>
      <x:c r="H8" s="10" t="str">
        <x:v>As a Care representative, I want to know whether a Consumer previously used a free trial so I can answer trial questions accurately.</x:v>
      </x:c>
      <x:c r="I8" s="10" t="str">
        <x:v>Add a read-only Online Accounts indicator sourced from authoritative data or approved derivation. Support Yes, No, and Unknown semantics. Keep past trial usage separate from eligibility for another trial.</x:v>
      </x:c>
      <x:c r="J8" s="10" t="str">
        <x:v>FT-01; trial-history source availability</x:v>
      </x:c>
    </x:row>
    <x:row r="9" ht="135" customHeight="1">
      <x:c r="A9" s="10" t="str">
        <x:v>FT-05</x:v>
      </x:c>
      <x:c r="B9" s="10" t="str">
        <x:v>Consumer record and integration</x:v>
      </x:c>
      <x:c r="C9" s="10" t="str">
        <x:v>Validate Free Tier SUIs on the CR tab</x:v>
      </x:c>
      <x:c r="D9" s="10" t="str">
        <x:v>P0</x:v>
      </x:c>
      <x:c r="E9" s="12" t="n">
        <x:v>3</x:v>
      </x:c>
      <x:c r="F9" s="12" t="n">
        <x:v>2</x:v>
      </x:c>
      <x:c r="G9" s="10" t="str">
        <x:v>Core</x:v>
      </x:c>
      <x:c r="H9" s="10" t="str">
        <x:v>As a Care representative, I need all applicable Free Tier SUIs to appear on the CR tab using its existing behavior.</x:v>
      </x:c>
      <x:c r="I9" s="10" t="str">
        <x:v>Build a representative test set of Free Tier SUIs. Validate visibility, Consumer association, completeness, and duplicate handling. No CR-tab redesign is planned. Triage discovered defects through the normal process.</x:v>
      </x:c>
      <x:c r="J9" s="10" t="str">
        <x:v>Representative SUI test data; existing CR integration</x:v>
      </x:c>
    </x:row>
    <x:row r="10" ht="135" customHeight="1">
      <x:c r="A10" s="10" t="str">
        <x:v>FT-06</x:v>
      </x:c>
      <x:c r="B10" s="10" t="str">
        <x:v>Case classification and routing</x:v>
      </x:c>
      <x:c r="C10" s="10" t="str">
        <x:v>Add approved Case classifications for Free Tier issues</x:v>
      </x:c>
      <x:c r="D10" s="10" t="str">
        <x:v>P0</x:v>
      </x:c>
      <x:c r="E10" s="12" t="n">
        <x:v>5</x:v>
      </x:c>
      <x:c r="F10" s="12" t="n">
        <x:v>2</x:v>
      </x:c>
      <x:c r="G10" s="10" t="str">
        <x:v>Conditional</x:v>
      </x:c>
      <x:c r="H10" s="10" t="str">
        <x:v>As a Care representative, I need appropriate Case classifications so I can capture Free Tier issues consistently.</x:v>
      </x:c>
      <x:c r="I10" s="10" t="str">
        <x:v>Review existing Case fields and Cancel Reason values with Care. Add approved values or a separate issue field where needed. Apply relevant validation and dependent picklists. Distinguish Premium cancellation from Free Tier questions.</x:v>
      </x:c>
      <x:c r="J10" s="10" t="str">
        <x:v>Care classification decision</x:v>
      </x:c>
    </x:row>
    <x:row r="11" ht="135" customHeight="1">
      <x:c r="A11" s="10" t="str">
        <x:v>FT-07</x:v>
      </x:c>
      <x:c r="B11" s="10" t="str">
        <x:v>Case classification and routing</x:v>
      </x:c>
      <x:c r="C11" s="10" t="str">
        <x:v>Capture subscription category on Cases for reporting</x:v>
      </x:c>
      <x:c r="D11" s="10" t="str">
        <x:v>P0</x:v>
      </x:c>
      <x:c r="E11" s="12" t="n">
        <x:v>5</x:v>
      </x:c>
      <x:c r="F11" s="12" t="n">
        <x:v>2</x:v>
      </x:c>
      <x:c r="G11" s="10" t="str">
        <x:v>Core</x:v>
      </x:c>
      <x:c r="H11" s="10" t="str">
        <x:v>As a Care reporting user, I need consistent subscription categories on Cases so cancellation and service reports distinguish monthly, annual, and Free Tier Consumers.</x:v>
      </x:c>
      <x:c r="I11" s="10" t="str">
        <x:v>Add a Case category field. Recommended: snapshot entitlement at Case creation to preserve historical reporting. For cancellation Cases, capture the category of the cancelled Premium subscription when available. Agree on reporting events and historical-backfill policy.</x:v>
      </x:c>
      <x:c r="J11" s="10" t="str">
        <x:v>FT-01; FT-02; reporting definitions</x:v>
      </x:c>
    </x:row>
    <x:row r="12" ht="135" customHeight="1">
      <x:c r="A12" s="10" t="str">
        <x:v>FT-08</x:v>
      </x:c>
      <x:c r="B12" s="10" t="str">
        <x:v>Case classification and routing</x:v>
      </x:c>
      <x:c r="C12" s="10" t="str">
        <x:v>Configure Free Tier Case routing and queue behavior</x:v>
      </x:c>
      <x:c r="D12" s="10" t="str">
        <x:v>P0</x:v>
      </x:c>
      <x:c r="E12" s="12" t="n">
        <x:v>5</x:v>
      </x:c>
      <x:c r="F12" s="12" t="n">
        <x:v>3</x:v>
      </x:c>
      <x:c r="G12" s="10" t="str">
        <x:v>Conditional</x:v>
      </x:c>
      <x:c r="H12" s="10" t="str">
        <x:v>As a Care operations manager, I want Free Tier questions routed according to an approved service policy so they reach the right team.</x:v>
      </x:c>
      <x:c r="I12" s="10" t="str">
        <x:v>Confirm whether a dedicated queue is needed. Configure membership and routing criteria if approved. Define fallback routing for unknown entitlement. Apply paid-versus-Free prioritization only after a business decision.</x:v>
      </x:c>
      <x:c r="J12" s="10" t="str">
        <x:v>FT-07; queue and priority decisions</x:v>
      </x:c>
    </x:row>
    <x:row r="13" ht="135" customHeight="1">
      <x:c r="A13" s="10" t="str">
        <x:v>FT-09</x:v>
      </x:c>
      <x:c r="B13" s="10" t="str">
        <x:v>Agentforce and IVR</x:v>
      </x:c>
      <x:c r="C13" s="10" t="str">
        <x:v>Enable general Free Tier answers in Agentforce</x:v>
      </x:c>
      <x:c r="D13" s="10" t="str">
        <x:v>P0</x:v>
      </x:c>
      <x:c r="E13" s="12" t="n">
        <x:v>3</x:v>
      </x:c>
      <x:c r="F13" s="12" t="n">
        <x:v>3</x:v>
      </x:c>
      <x:c r="G13" s="10" t="str">
        <x:v>Core</x:v>
      </x:c>
      <x:c r="H13" s="10" t="str">
        <x:v>As a Consumer, I want Agentforce to answer general Free Tier questions using approved information.</x:v>
      </x:c>
      <x:c r="I13" s="10" t="str">
        <x:v>Create or update knowledge on Free Tier benefits, limitations, relationship to Premium, and trial information. Connect knowledge to relevant Agentforce topics. Define escalation for unsupported questions.</x:v>
      </x:c>
      <x:c r="J13" s="10" t="str">
        <x:v>Approved product policies and knowledge content</x:v>
      </x:c>
    </x:row>
    <x:row r="14" ht="135" customHeight="1">
      <x:c r="A14" s="10" t="str">
        <x:v>FT-10</x:v>
      </x:c>
      <x:c r="B14" s="10" t="str">
        <x:v>Agentforce and IVR</x:v>
      </x:c>
      <x:c r="C14" s="10" t="str">
        <x:v>Enable personalized Free Tier status in Agentforce</x:v>
      </x:c>
      <x:c r="D14" s="10" t="str">
        <x:v>P0</x:v>
      </x:c>
      <x:c r="E14" s="12" t="n">
        <x:v>5</x:v>
      </x:c>
      <x:c r="F14" s="12" t="n">
        <x:v>3</x:v>
      </x:c>
      <x:c r="G14" s="10" t="str">
        <x:v>Core</x:v>
      </x:c>
      <x:c r="H14" s="10" t="str">
        <x:v>As an authenticated Consumer, I want Agentforce to tell me whether my account is currently in Free Tier.</x:v>
      </x:c>
      <x:c r="I14" s="10" t="str">
        <x:v>Extend the existing account-status action to read dedicated Free Tier fields and apply approved entitlement precedence. Explicitly handle unknown or unavailable status using the established identity and account-lookup capabilities.</x:v>
      </x:c>
      <x:c r="J14" s="10" t="str">
        <x:v>FT-02; FT-09; existing identity and lookup capabilities</x:v>
      </x:c>
    </x:row>
    <x:row r="15" ht="135" customHeight="1">
      <x:c r="A15" s="10" t="str">
        <x:v>FT-11</x:v>
      </x:c>
      <x:c r="B15" s="10" t="str">
        <x:v>Agentforce and IVR</x:v>
      </x:c>
      <x:c r="C15" s="10" t="str">
        <x:v>Update existing Hallmark+ Agentforce use cases</x:v>
      </x:c>
      <x:c r="D15" s="10" t="str">
        <x:v>P0</x:v>
      </x:c>
      <x:c r="E15" s="12" t="n">
        <x:v>8</x:v>
      </x:c>
      <x:c r="F15" s="12" t="n">
        <x:v>4</x:v>
      </x:c>
      <x:c r="G15" s="10" t="str">
        <x:v>Core</x:v>
      </x:c>
      <x:c r="H15" s="10" t="str">
        <x:v>As a Consumer, I want Hallmark+ conversations to reflect my entitlement so I do not receive incorrect billing, renewal, or cancellation information.</x:v>
      </x:c>
      <x:c r="I15" s="10" t="str">
        <x:v>Inventory existing topics and actions for billing, payment dates, renewal, cancellation, trials, and benefits. Add Free Tier branches and guard paid-only actions while preserving paid behavior. Regression-test multi-turn context.</x:v>
      </x:c>
      <x:c r="J15" s="10" t="str">
        <x:v>FT-04; FT-09; FT-10; access to existing topics</x:v>
      </x:c>
    </x:row>
    <x:row r="16" ht="135" customHeight="1">
      <x:c r="A16" s="10" t="str">
        <x:v>FT-12</x:v>
      </x:c>
      <x:c r="B16" s="10" t="str">
        <x:v>Agentforce and IVR</x:v>
      </x:c>
      <x:c r="C16" s="10" t="str">
        <x:v>Implement approved IVR support changes</x:v>
      </x:c>
      <x:c r="D16" s="10" t="str">
        <x:v>P0</x:v>
      </x:c>
      <x:c r="E16" s="12" t="n">
        <x:v>5</x:v>
      </x:c>
      <x:c r="F16" s="12" t="n">
        <x:v>4</x:v>
      </x:c>
      <x:c r="G16" s="10" t="str">
        <x:v>Conditional</x:v>
      </x:c>
      <x:c r="H16" s="10" t="str">
        <x:v>As a Consumer calling Care, I want IVR prompts and routing to handle Free Tier accurately.</x:v>
      </x:c>
      <x:c r="I16" s="10" t="str">
        <x:v>Assess prompt, lookup, menu, and routing impacts. Implement approved changes in the existing platform and reuse entitlement and routing rules. Estimate covers modest existing-platform changes; a new telephony integration requires re-estimation.</x:v>
      </x:c>
      <x:c r="J16" s="10" t="str">
        <x:v>IVR owner; FT-08 and entitlement lookup where needed</x:v>
      </x:c>
    </x:row>
    <x:row r="17" ht="135" customHeight="1">
      <x:c r="A17" s="10" t="str">
        <x:v>FT-13</x:v>
      </x:c>
      <x:c r="B17" s="10" t="str">
        <x:v>Reporting and release</x:v>
      </x:c>
      <x:c r="C17" s="10" t="str">
        <x:v>Extend Cases [C] reporting for Free Tier</x:v>
      </x:c>
      <x:c r="D17" s="10" t="str">
        <x:v>P0</x:v>
      </x:c>
      <x:c r="E17" s="12" t="n">
        <x:v>5</x:v>
      </x:c>
      <x:c r="F17" s="12" t="n">
        <x:v>5</x:v>
      </x:c>
      <x:c r="G17" s="10" t="str">
        <x:v>Core</x:v>
      </x:c>
      <x:c r="H17" s="10" t="str">
        <x:v>As a Care reporting user, I want to analyze Cancel Reasons and other Case attributes by subscription category and access all new fields in Cases [C].</x:v>
      </x:c>
      <x:c r="I17" s="10" t="str">
        <x:v>Extend the Cases [C] custom report type or equivalent configuration. Expose new Case and Consumer fields through supported relationships. Provide a sample Cancel Reason report using the agreed event-based category, with flexible filtering and grouping.</x:v>
      </x:c>
      <x:c r="J17" s="10" t="str">
        <x:v>FT-02; FT-04; FT-06; FT-07</x:v>
      </x:c>
    </x:row>
    <x:row r="18" ht="135" customHeight="1">
      <x:c r="A18" s="10" t="str">
        <x:v>FT-14</x:v>
      </x:c>
      <x:c r="B18" s="10" t="str">
        <x:v>Reporting and release</x:v>
      </x:c>
      <x:c r="C18" s="10" t="str">
        <x:v>Complete integrated testing, UAT, and release readiness</x:v>
      </x:c>
      <x:c r="D18" s="10" t="str">
        <x:v>P0</x:v>
      </x:c>
      <x:c r="E18" s="12" t="n">
        <x:v>8</x:v>
      </x:c>
      <x:c r="F18" s="12" t="n">
        <x:v>5</x:v>
      </x:c>
      <x:c r="G18" s="10" t="str">
        <x:v>Core</x:v>
      </x:c>
      <x:c r="H18" s="10" t="str">
        <x:v>As a product owner, I want the Free Tier experience validated across CareTools, Agentforce, routing, IVR, and reporting before release.</x:v>
      </x:c>
      <x:c r="I18" s="10" t="str">
        <x:v>Execute cross-feature scenarios beyond story-level tests. Run Care UAT with representative data. Validate deployment sequence, initial load, monitoring, and recovery. Produce concise training and release notes.</x:v>
      </x:c>
      <x:c r="J18" s="10" t="str">
        <x:v>All approved implementation stories</x:v>
      </x:c>
    </x:row>
  </x:sheetData>
  <x:pageMargins left="0.7" right="0.7" top="0.75" bottom="0.75" header="0.3" footer="0.3"/>
  <x:tableParts count="1">
    <x:tablePart xmlns:r="http://schemas.openxmlformats.org/officeDocument/2006/relationships" r:id="R6570bae2554b4082"/>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3" hidden="0" customWidth="1"/>
    <x:col min="2" max="2" width="21" hidden="0" customWidth="1"/>
    <x:col min="3" max="3" width="115" hidden="0" customWidth="1"/>
  </x:cols>
  <x:sheetData>
    <x:row r="1">
      <x:c r="A1" s="2"/>
      <x:c r="B1" s="2"/>
      <x:c r="C1" s="2"/>
    </x:row>
    <x:row r="2">
      <x:c r="A2" s="3" t="str">
        <x:v>Acceptance criteria</x:v>
      </x:c>
      <x:c r="B2" s="2"/>
      <x:c r="C2" s="2"/>
    </x:row>
    <x:row r="3">
      <x:c r="A3" s="4"/>
      <x:c r="B3" s="4"/>
      <x:c r="C3" s="4"/>
    </x:row>
    <x:row r="4" ht="32" customHeight="1">
      <x:c r="A4" s="8" t="str">
        <x:v>Story ID</x:v>
      </x:c>
      <x:c r="B4" s="8" t="str">
        <x:v>Criterion ID</x:v>
      </x:c>
      <x:c r="C4" s="8" t="str">
        <x:v>Acceptance criterion</x:v>
      </x:c>
    </x:row>
    <x:row r="5" ht="42" customHeight="1">
      <x:c r="A5" s="9" t="str">
        <x:v>FT-01</x:v>
      </x:c>
      <x:c r="B5" s="9" t="str">
        <x:v>FT-01-AC01</x:v>
      </x:c>
      <x:c r="C5" s="9" t="str">
        <x:v>Reviewed mapping identifies authoritative source, target, type, and transformation for every required value.</x:v>
      </x:c>
    </x:row>
    <x:row r="6" ht="42" customHeight="1">
      <x:c r="A6" s="9" t="str">
        <x:v>FT-01</x:v>
      </x:c>
      <x:c r="B6" s="9" t="str">
        <x:v>FT-01-AC02</x:v>
      </x:c>
      <x:c r="C6" s="9" t="str">
        <x:v>Approved examples cover Free Tier, monthly paid, annual paid, prior trial usage, and missing data.</x:v>
      </x:c>
    </x:row>
    <x:row r="7" ht="42" customHeight="1">
      <x:c r="A7" s="9" t="str">
        <x:v>FT-01</x:v>
      </x:c>
      <x:c r="B7" s="9" t="str">
        <x:v>FT-01-AC03</x:v>
      </x:c>
      <x:c r="C7" s="9" t="str">
        <x:v>Rules distinguish trial not previously used from trial usage unknown.</x:v>
      </x:c>
    </x:row>
    <x:row r="8" ht="42" customHeight="1">
      <x:c r="A8" s="9" t="str">
        <x:v>FT-01</x:v>
      </x:c>
      <x:c r="B8" s="9" t="str">
        <x:v>FT-01-AC04</x:v>
      </x:c>
      <x:c r="C8" s="9" t="str">
        <x:v>Premium cancellation timing and resulting Free Tier effective date are documented.</x:v>
      </x:c>
    </x:row>
    <x:row r="9" ht="42" customHeight="1">
      <x:c r="A9" s="9" t="str">
        <x:v>FT-01</x:v>
      </x:c>
      <x:c r="B9" s="9" t="str">
        <x:v>FT-01-AC05</x:v>
      </x:c>
      <x:c r="C9" s="9" t="str">
        <x:v>Existing Type remains unchanged. Free Tier cancellation and tier-movement history are excluded.</x:v>
      </x:c>
    </x:row>
    <x:row r="10" ht="42" customHeight="1">
      <x:c r="A10" s="9" t="str">
        <x:v>FT-01</x:v>
      </x:c>
      <x:c r="B10" s="9" t="str">
        <x:v>FT-01-AC06</x:v>
      </x:c>
      <x:c r="C10" s="9" t="str">
        <x:v>Business and technical owners approve the contract before dependent implementation is finalized.</x:v>
      </x:c>
    </x:row>
    <x:row r="11" ht="42" customHeight="1">
      <x:c r="A11" s="9" t="str">
        <x:v>FT-02</x:v>
      </x:c>
      <x:c r="B11" s="9" t="str">
        <x:v>FT-02-AC01</x:v>
      </x:c>
      <x:c r="C11" s="9" t="str">
        <x:v>Source status, effective date, and previous state populate the correct Consumer.</x:v>
      </x:c>
    </x:row>
    <x:row r="12" ht="42" customHeight="1">
      <x:c r="A12" s="9" t="str">
        <x:v>FT-02</x:v>
      </x:c>
      <x:c r="B12" s="9" t="str">
        <x:v>FT-02-AC02</x:v>
      </x:c>
      <x:c r="C12" s="9" t="str">
        <x:v>Updates appear within the agreed refresh interval.</x:v>
      </x:c>
    </x:row>
    <x:row r="13" ht="42" customHeight="1">
      <x:c r="A13" s="9" t="str">
        <x:v>FT-02</x:v>
      </x:c>
      <x:c r="B13" s="9" t="str">
        <x:v>FT-02-AC03</x:v>
      </x:c>
      <x:c r="C13" s="9" t="str">
        <x:v>Duplicate messages and retries do not create duplicates or corrupt values.</x:v>
      </x:c>
    </x:row>
    <x:row r="14" ht="42" customHeight="1">
      <x:c r="A14" s="9" t="str">
        <x:v>FT-02</x:v>
      </x:c>
      <x:c r="B14" s="9" t="str">
        <x:v>FT-02-AC04</x:v>
      </x:c>
      <x:c r="C14" s="9" t="str">
        <x:v>Missing or invalid values follow the data contract and are not shown as confirmed entitlement.</x:v>
      </x:c>
    </x:row>
    <x:row r="15" ht="42" customHeight="1">
      <x:c r="A15" s="9" t="str">
        <x:v>FT-02</x:v>
      </x:c>
      <x:c r="B15" s="9" t="str">
        <x:v>FT-02-AC05</x:v>
      </x:c>
      <x:c r="C15" s="9" t="str">
        <x:v>Failures are logged with enough information to investigate and retry.</x:v>
      </x:c>
    </x:row>
    <x:row r="16" ht="42" customHeight="1">
      <x:c r="A16" s="9" t="str">
        <x:v>FT-02</x:v>
      </x:c>
      <x:c r="B16" s="9" t="str">
        <x:v>FT-02-AC06</x:v>
      </x:c>
      <x:c r="C16" s="9" t="str">
        <x:v>Existing eligible Consumers are populated and reconciled to the source.</x:v>
      </x:c>
    </x:row>
    <x:row r="17" ht="42" customHeight="1">
      <x:c r="A17" s="9" t="str">
        <x:v>FT-02</x:v>
      </x:c>
      <x:c r="B17" s="9" t="str">
        <x:v>FT-02-AC07</x:v>
      </x:c>
      <x:c r="C17" s="9" t="str">
        <x:v>Authorized Care users can view fields; edit access follows the approved ownership model.</x:v>
      </x:c>
    </x:row>
    <x:row r="18" ht="42" customHeight="1">
      <x:c r="A18" s="9" t="str">
        <x:v>FT-03</x:v>
      </x:c>
      <x:c r="B18" s="9" t="str">
        <x:v>FT-03-AC01</x:v>
      </x:c>
      <x:c r="C18" s="9" t="str">
        <x:v>An active Free Tier Consumer shows the three required values when supplied.</x:v>
      </x:c>
    </x:row>
    <x:row r="19" ht="42" customHeight="1">
      <x:c r="A19" s="9" t="str">
        <x:v>FT-03</x:v>
      </x:c>
      <x:c r="B19" s="9" t="str">
        <x:v>FT-03-AC02</x:v>
      </x:c>
      <x:c r="C19" s="9" t="str">
        <x:v>Free Tier does not overwrite the existing Type.</x:v>
      </x:c>
    </x:row>
    <x:row r="20" ht="42" customHeight="1">
      <x:c r="A20" s="9" t="str">
        <x:v>FT-03</x:v>
      </x:c>
      <x:c r="B20" s="9" t="str">
        <x:v>FT-03-AC03</x:v>
      </x:c>
      <x:c r="C20" s="9" t="str">
        <x:v>Current End Date and Autorenewal are blank in the Free Tier context; Autorenewal is not misleadingly shown as No.</x:v>
      </x:c>
    </x:row>
    <x:row r="21" ht="42" customHeight="1">
      <x:c r="A21" s="9" t="str">
        <x:v>FT-03</x:v>
      </x:c>
      <x:c r="B21" s="9" t="str">
        <x:v>FT-03-AC04</x:v>
      </x:c>
      <x:c r="C21" s="9" t="str">
        <x:v>Historical paid information remains available and clearly distinguishable.</x:v>
      </x:c>
    </x:row>
    <x:row r="22" ht="42" customHeight="1">
      <x:c r="A22" s="9" t="str">
        <x:v>FT-03</x:v>
      </x:c>
      <x:c r="B22" s="9" t="str">
        <x:v>FT-03-AC05</x:v>
      </x:c>
      <x:c r="C22" s="9" t="str">
        <x:v>Missing dates stay blank without fabricated defaults.</x:v>
      </x:c>
    </x:row>
    <x:row r="23" ht="42" customHeight="1">
      <x:c r="A23" s="9" t="str">
        <x:v>FT-03</x:v>
      </x:c>
      <x:c r="B23" s="9" t="str">
        <x:v>FT-03-AC06</x:v>
      </x:c>
      <x:c r="C23" s="9" t="str">
        <x:v>Monthly and annual subscription displays continue to work.</x:v>
      </x:c>
    </x:row>
    <x:row r="24" ht="42" customHeight="1">
      <x:c r="A24" s="9" t="str">
        <x:v>FT-03</x:v>
      </x:c>
      <x:c r="B24" s="9" t="str">
        <x:v>FT-03-AC07</x:v>
      </x:c>
      <x:c r="C24" s="9" t="str">
        <x:v>No Free Tier cancellation action or cancellation-date behavior is introduced.</x:v>
      </x:c>
    </x:row>
    <x:row r="25" ht="42" customHeight="1">
      <x:c r="A25" s="9" t="str">
        <x:v>FT-04</x:v>
      </x:c>
      <x:c r="B25" s="9" t="str">
        <x:v>FT-04-AC01</x:v>
      </x:c>
      <x:c r="C25" s="9" t="str">
        <x:v>Confirmed prior trial usage displays Yes.</x:v>
      </x:c>
    </x:row>
    <x:row r="26" ht="42" customHeight="1">
      <x:c r="A26" s="9" t="str">
        <x:v>FT-04</x:v>
      </x:c>
      <x:c r="B26" s="9" t="str">
        <x:v>FT-04-AC02</x:v>
      </x:c>
      <x:c r="C26" s="9" t="str">
        <x:v>Confirmed absence of usage displays No.</x:v>
      </x:c>
    </x:row>
    <x:row r="27" ht="42" customHeight="1">
      <x:c r="A27" s="9" t="str">
        <x:v>FT-04</x:v>
      </x:c>
      <x:c r="B27" s="9" t="str">
        <x:v>FT-04-AC03</x:v>
      </x:c>
      <x:c r="C27" s="9" t="str">
        <x:v>Missing or inconclusive data displays Unknown or the approved equivalent.</x:v>
      </x:c>
    </x:row>
    <x:row r="28" ht="42" customHeight="1">
      <x:c r="A28" s="9" t="str">
        <x:v>FT-04</x:v>
      </x:c>
      <x:c r="B28" s="9" t="str">
        <x:v>FT-04-AC04</x:v>
      </x:c>
      <x:c r="C28" s="9" t="str">
        <x:v>Moving from trial to paid or Free Tier does not erase prior usage.</x:v>
      </x:c>
    </x:row>
    <x:row r="29" ht="42" customHeight="1">
      <x:c r="A29" s="9" t="str">
        <x:v>FT-04</x:v>
      </x:c>
      <x:c r="B29" s="9" t="str">
        <x:v>FT-04-AC05</x:v>
      </x:c>
      <x:c r="C29" s="9" t="str">
        <x:v>Authorized Care users can view the indicator on Online Accounts.</x:v>
      </x:c>
    </x:row>
    <x:row r="30" ht="42" customHeight="1">
      <x:c r="A30" s="9" t="str">
        <x:v>FT-04</x:v>
      </x:c>
      <x:c r="B30" s="9" t="str">
        <x:v>FT-04-AC06</x:v>
      </x:c>
      <x:c r="C30" s="9" t="str">
        <x:v>The indicator does not claim eligibility for another trial.</x:v>
      </x:c>
    </x:row>
    <x:row r="31" ht="42" customHeight="1">
      <x:c r="A31" s="9" t="str">
        <x:v>FT-05</x:v>
      </x:c>
      <x:c r="B31" s="9" t="str">
        <x:v>FT-05-AC01</x:v>
      </x:c>
      <x:c r="C31" s="9" t="str">
        <x:v>Every expected Free Tier SUI in the approved test set appears on the correct Consumer CR tab.</x:v>
      </x:c>
    </x:row>
    <x:row r="32" ht="42" customHeight="1">
      <x:c r="A32" s="9" t="str">
        <x:v>FT-05</x:v>
      </x:c>
      <x:c r="B32" s="9" t="str">
        <x:v>FT-05-AC02</x:v>
      </x:c>
      <x:c r="C32" s="9" t="str">
        <x:v>No SUI appears on an unrelated Consumer.</x:v>
      </x:c>
    </x:row>
    <x:row r="33" ht="42" customHeight="1">
      <x:c r="A33" s="9" t="str">
        <x:v>FT-05</x:v>
      </x:c>
      <x:c r="B33" s="9" t="str">
        <x:v>FT-05-AC03</x:v>
      </x:c>
      <x:c r="C33" s="9" t="str">
        <x:v>Existing duplicate handling works correctly.</x:v>
      </x:c>
    </x:row>
    <x:row r="34" ht="42" customHeight="1">
      <x:c r="A34" s="9" t="str">
        <x:v>FT-05</x:v>
      </x:c>
      <x:c r="B34" s="9" t="str">
        <x:v>FT-05-AC04</x:v>
      </x:c>
      <x:c r="C34" s="9" t="str">
        <x:v>Paid-subscription SUIs continue to display correctly.</x:v>
      </x:c>
    </x:row>
    <x:row r="35" ht="42" customHeight="1">
      <x:c r="A35" s="9" t="str">
        <x:v>FT-05</x:v>
      </x:c>
      <x:c r="B35" s="9" t="str">
        <x:v>FT-05-AC05</x:v>
      </x:c>
      <x:c r="C35" s="9" t="str">
        <x:v>Test results are documented; release-blocking defects are resolved or formally dispositioned.</x:v>
      </x:c>
    </x:row>
    <x:row r="36" ht="42" customHeight="1">
      <x:c r="A36" s="9" t="str">
        <x:v>FT-06</x:v>
      </x:c>
      <x:c r="B36" s="9" t="str">
        <x:v>FT-06-AC01</x:v>
      </x:c>
      <x:c r="C36" s="9" t="str">
        <x:v>Care approves classifications and whether existing or new fields are used.</x:v>
      </x:c>
    </x:row>
    <x:row r="37" ht="42" customHeight="1">
      <x:c r="A37" s="9" t="str">
        <x:v>FT-06</x:v>
      </x:c>
      <x:c r="B37" s="9" t="str">
        <x:v>FT-06-AC02</x:v>
      </x:c>
      <x:c r="C37" s="9" t="str">
        <x:v>Approved fields and values appear on applicable Case layouts.</x:v>
      </x:c>
    </x:row>
    <x:row r="38" ht="42" customHeight="1">
      <x:c r="A38" s="9" t="str">
        <x:v>FT-06</x:v>
      </x:c>
      <x:c r="B38" s="9" t="str">
        <x:v>FT-06-AC03</x:v>
      </x:c>
      <x:c r="C38" s="9" t="str">
        <x:v>Invalid combinations are prevented or addressed by approved guidance.</x:v>
      </x:c>
    </x:row>
    <x:row r="39" ht="42" customHeight="1">
      <x:c r="A39" s="9" t="str">
        <x:v>FT-06</x:v>
      </x:c>
      <x:c r="B39" s="9" t="str">
        <x:v>FT-06-AC04</x:v>
      </x:c>
      <x:c r="C39" s="9" t="str">
        <x:v>Existing Cancel Reasons and historical data remain intact.</x:v>
      </x:c>
    </x:row>
    <x:row r="40" ht="42" customHeight="1">
      <x:c r="A40" s="9" t="str">
        <x:v>FT-06</x:v>
      </x:c>
      <x:c r="B40" s="9" t="str">
        <x:v>FT-06-AC05</x:v>
      </x:c>
      <x:c r="C40" s="9" t="str">
        <x:v>Configuration does not imply Free Tier can be cancelled.</x:v>
      </x:c>
    </x:row>
    <x:row r="41" ht="42" customHeight="1">
      <x:c r="A41" s="9" t="str">
        <x:v>FT-06</x:v>
      </x:c>
      <x:c r="B41" s="9" t="str">
        <x:v>FT-06-AC06</x:v>
      </x:c>
      <x:c r="C41" s="9" t="str">
        <x:v>New classifications are available for reporting.</x:v>
      </x:c>
    </x:row>
    <x:row r="42" ht="42" customHeight="1">
      <x:c r="A42" s="9" t="str">
        <x:v>FT-06</x:v>
      </x:c>
      <x:c r="B42" s="9" t="str">
        <x:v>FT-06-AC07</x:v>
      </x:c>
      <x:c r="C42" s="9" t="str">
        <x:v>If no changes are required, record that decision and remove implementation scope before commitment.</x:v>
      </x:c>
    </x:row>
    <x:row r="43" ht="42" customHeight="1">
      <x:c r="A43" s="9" t="str">
        <x:v>FT-07</x:v>
      </x:c>
      <x:c r="B43" s="9" t="str">
        <x:v>FT-07-AC01</x:v>
      </x:c>
      <x:c r="C43" s="9" t="str">
        <x:v>Care approves the reporting event for each category field: Case creation, cancellation, or another defined event.</x:v>
      </x:c>
    </x:row>
    <x:row r="44" ht="42" customHeight="1">
      <x:c r="A44" s="9" t="str">
        <x:v>FT-07</x:v>
      </x:c>
      <x:c r="B44" s="9" t="str">
        <x:v>FT-07-AC02</x:v>
      </x:c>
      <x:c r="C44" s="9" t="str">
        <x:v>New Cases populate category using authoritative data.</x:v>
      </x:c>
    </x:row>
    <x:row r="45" ht="42" customHeight="1">
      <x:c r="A45" s="9" t="str">
        <x:v>FT-07</x:v>
      </x:c>
      <x:c r="B45" s="9" t="str">
        <x:v>FT-07-AC03</x:v>
      </x:c>
      <x:c r="C45" s="9" t="str">
        <x:v>Monthly, annual, and Free Tier are distinguishable; missing entitlement is not classified as Free Tier.</x:v>
      </x:c>
    </x:row>
    <x:row r="46" ht="42" customHeight="1">
      <x:c r="A46" s="9" t="str">
        <x:v>FT-07</x:v>
      </x:c>
      <x:c r="B46" s="9" t="str">
        <x:v>FT-07-AC04</x:v>
      </x:c>
      <x:c r="C46" s="9" t="str">
        <x:v>Later entitlement changes do not overwrite approved historical snapshots.</x:v>
      </x:c>
    </x:row>
    <x:row r="47" ht="42" customHeight="1">
      <x:c r="A47" s="9" t="str">
        <x:v>FT-07</x:v>
      </x:c>
      <x:c r="B47" s="9" t="str">
        <x:v>FT-07-AC05</x:v>
      </x:c>
      <x:c r="C47" s="9" t="str">
        <x:v>Premium cancellation remains reportable against the cancelled monthly or annual category after entry to Free Tier.</x:v>
      </x:c>
    </x:row>
    <x:row r="48" ht="42" customHeight="1">
      <x:c r="A48" s="9" t="str">
        <x:v>FT-07</x:v>
      </x:c>
      <x:c r="B48" s="9" t="str">
        <x:v>FT-07-AC06</x:v>
      </x:c>
      <x:c r="C48" s="9" t="str">
        <x:v>Supported Case-creation channels follow consistent classification rules.</x:v>
      </x:c>
    </x:row>
    <x:row r="49" ht="42" customHeight="1">
      <x:c r="A49" s="9" t="str">
        <x:v>FT-07</x:v>
      </x:c>
      <x:c r="B49" s="9" t="str">
        <x:v>FT-07-AC07</x:v>
      </x:c>
      <x:c r="C49" s="9" t="str">
        <x:v>Existing Cases follow the agreed backfill policy without invented historical categories.</x:v>
      </x:c>
    </x:row>
    <x:row r="50" ht="42" customHeight="1">
      <x:c r="A50" s="9" t="str">
        <x:v>FT-08</x:v>
      </x:c>
      <x:c r="B50" s="9" t="str">
        <x:v>FT-08-AC01</x:v>
      </x:c>
      <x:c r="C50" s="9" t="str">
        <x:v>Care approves queue design and any difference in paid-subscriber priority.</x:v>
      </x:c>
    </x:row>
    <x:row r="51" ht="42" customHeight="1">
      <x:c r="A51" s="9" t="str">
        <x:v>FT-08</x:v>
      </x:c>
      <x:c r="B51" s="9" t="str">
        <x:v>FT-08-AC02</x:v>
      </x:c>
      <x:c r="C51" s="9" t="str">
        <x:v>Qualifying Free Tier Cases reach the approved destination.</x:v>
      </x:c>
    </x:row>
    <x:row r="52" ht="42" customHeight="1">
      <x:c r="A52" s="9" t="str">
        <x:v>FT-08</x:v>
      </x:c>
      <x:c r="B52" s="9" t="str">
        <x:v>FT-08-AC03</x:v>
      </x:c>
      <x:c r="C52" s="9" t="str">
        <x:v>Monthly and annual Cases follow intended routing.</x:v>
      </x:c>
    </x:row>
    <x:row r="53" ht="42" customHeight="1">
      <x:c r="A53" s="9" t="str">
        <x:v>FT-08</x:v>
      </x:c>
      <x:c r="B53" s="9" t="str">
        <x:v>FT-08-AC04</x:v>
      </x:c>
      <x:c r="C53" s="9" t="str">
        <x:v>Unknown entitlement uses a defined fallback.</x:v>
      </x:c>
    </x:row>
    <x:row r="54" ht="42" customHeight="1">
      <x:c r="A54" s="9" t="str">
        <x:v>FT-08</x:v>
      </x:c>
      <x:c r="B54" s="9" t="str">
        <x:v>FT-08-AC05</x:v>
      </x:c>
      <x:c r="C54" s="9" t="str">
        <x:v>Queue members can access and accept work.</x:v>
      </x:c>
    </x:row>
    <x:row r="55" ht="42" customHeight="1">
      <x:c r="A55" s="9" t="str">
        <x:v>FT-08</x:v>
      </x:c>
      <x:c r="B55" s="9" t="str">
        <x:v>FT-08-AC06</x:v>
      </x:c>
      <x:c r="C55" s="9" t="str">
        <x:v>Tests show no unowned Cases or routing loops.</x:v>
      </x:c>
    </x:row>
    <x:row r="56" ht="42" customHeight="1">
      <x:c r="A56" s="9" t="str">
        <x:v>FT-08</x:v>
      </x:c>
      <x:c r="B56" s="9" t="str">
        <x:v>FT-08-AC07</x:v>
      </x:c>
      <x:c r="C56" s="9" t="str">
        <x:v>Paid-versus-Free prioritization is not introduced without an approved policy.</x:v>
      </x:c>
    </x:row>
    <x:row r="57" ht="42" customHeight="1">
      <x:c r="A57" s="9" t="str">
        <x:v>FT-09</x:v>
      </x:c>
      <x:c r="B57" s="9" t="str">
        <x:v>FT-09-AC01</x:v>
      </x:c>
      <x:c r="C57" s="9" t="str">
        <x:v>Care approves Free Tier content.</x:v>
      </x:c>
    </x:row>
    <x:row r="58" ht="42" customHeight="1">
      <x:c r="A58" s="9" t="str">
        <x:v>FT-09</x:v>
      </x:c>
      <x:c r="B58" s="9" t="str">
        <x:v>FT-09-AC02</x:v>
      </x:c>
      <x:c r="C58" s="9" t="str">
        <x:v>Agentforce answers the agreed FAQ test set accurately.</x:v>
      </x:c>
    </x:row>
    <x:row r="59" ht="42" customHeight="1">
      <x:c r="A59" s="9" t="str">
        <x:v>FT-09</x:v>
      </x:c>
      <x:c r="B59" s="9" t="str">
        <x:v>FT-09-AC03</x:v>
      </x:c>
      <x:c r="C59" s="9" t="str">
        <x:v>Answers distinguish Free Tier, free trials, and paid subscriptions.</x:v>
      </x:c>
    </x:row>
    <x:row r="60" ht="42" customHeight="1">
      <x:c r="A60" s="9" t="str">
        <x:v>FT-09</x:v>
      </x:c>
      <x:c r="B60" s="9" t="str">
        <x:v>FT-09-AC04</x:v>
      </x:c>
      <x:c r="C60" s="9" t="str">
        <x:v>Answers do not suggest recurring Free Tier payments or cancellation.</x:v>
      </x:c>
    </x:row>
    <x:row r="61" ht="42" customHeight="1">
      <x:c r="A61" s="9" t="str">
        <x:v>FT-09</x:v>
      </x:c>
      <x:c r="B61" s="9" t="str">
        <x:v>FT-09-AC05</x:v>
      </x:c>
      <x:c r="C61" s="9" t="str">
        <x:v>Unsupported questions lead to clarification or agreed escalation.</x:v>
      </x:c>
    </x:row>
    <x:row r="62" ht="42" customHeight="1">
      <x:c r="A62" s="9" t="str">
        <x:v>FT-09</x:v>
      </x:c>
      <x:c r="B62" s="9" t="str">
        <x:v>FT-09-AC06</x:v>
      </x:c>
      <x:c r="C62" s="9" t="str">
        <x:v>Existing Premium knowledge remains usable.</x:v>
      </x:c>
    </x:row>
    <x:row r="63" ht="42" customHeight="1">
      <x:c r="A63" s="9" t="str">
        <x:v>FT-10</x:v>
      </x:c>
      <x:c r="B63" s="9" t="str">
        <x:v>FT-10-AC01</x:v>
      </x:c>
      <x:c r="C63" s="9" t="str">
        <x:v>After established identity checks succeed, Agentforce confirms active Free Tier status.</x:v>
      </x:c>
    </x:row>
    <x:row r="64" ht="42" customHeight="1">
      <x:c r="A64" s="9" t="str">
        <x:v>FT-10</x:v>
      </x:c>
      <x:c r="B64" s="9" t="str">
        <x:v>FT-10-AC02</x:v>
      </x:c>
      <x:c r="C64" s="9" t="str">
        <x:v>Monthly and annual Consumers receive correct subscription responses.</x:v>
      </x:c>
    </x:row>
    <x:row r="65" ht="42" customHeight="1">
      <x:c r="A65" s="9" t="str">
        <x:v>FT-10</x:v>
      </x:c>
      <x:c r="B65" s="9" t="str">
        <x:v>FT-10-AC03</x:v>
      </x:c>
      <x:c r="C65" s="9" t="str">
        <x:v>Historical paid records do not produce incorrect current-entitlement responses.</x:v>
      </x:c>
    </x:row>
    <x:row r="66" ht="42" customHeight="1">
      <x:c r="A66" s="9" t="str">
        <x:v>FT-10</x:v>
      </x:c>
      <x:c r="B66" s="9" t="str">
        <x:v>FT-10-AC04</x:v>
      </x:c>
      <x:c r="C66" s="9" t="str">
        <x:v>Missing or unavailable data produces an unable-to-confirm response.</x:v>
      </x:c>
    </x:row>
    <x:row r="67" ht="42" customHeight="1">
      <x:c r="A67" s="9" t="str">
        <x:v>FT-10</x:v>
      </x:c>
      <x:c r="B67" s="9" t="str">
        <x:v>FT-10-AC05</x:v>
      </x:c>
      <x:c r="C67" s="9" t="str">
        <x:v>Account-specific information is not disclosed before required identity checks.</x:v>
      </x:c>
    </x:row>
    <x:row r="68" ht="42" customHeight="1">
      <x:c r="A68" s="9" t="str">
        <x:v>FT-10</x:v>
      </x:c>
      <x:c r="B68" s="9" t="str">
        <x:v>FT-10-AC06</x:v>
      </x:c>
      <x:c r="C68" s="9" t="str">
        <x:v>Integration failures use the approved fallback or handoff.</x:v>
      </x:c>
    </x:row>
    <x:row r="69" ht="42" customHeight="1">
      <x:c r="A69" s="9" t="str">
        <x:v>FT-11</x:v>
      </x:c>
      <x:c r="B69" s="9" t="str">
        <x:v>FT-11-AC01</x:v>
      </x:c>
      <x:c r="C69" s="9" t="str">
        <x:v>Inventory existing Hallmark+ use cases and identify affected scenarios.</x:v>
      </x:c>
    </x:row>
    <x:row r="70" ht="42" customHeight="1">
      <x:c r="A70" s="9" t="str">
        <x:v>FT-11</x:v>
      </x:c>
      <x:c r="B70" s="9" t="str">
        <x:v>FT-11-AC02</x:v>
      </x:c>
      <x:c r="C70" s="9" t="str">
        <x:v>Free Tier responses do not invent charges, payment dates, or renewal dates.</x:v>
      </x:c>
    </x:row>
    <x:row r="71" ht="42" customHeight="1">
      <x:c r="A71" s="9" t="str">
        <x:v>FT-11</x:v>
      </x:c>
      <x:c r="B71" s="9" t="str">
        <x:v>FT-11-AC03</x:v>
      </x:c>
      <x:c r="C71" s="9" t="str">
        <x:v>Free Tier cancellation requests receive an explanation without executing cancellation.</x:v>
      </x:c>
    </x:row>
    <x:row r="72" ht="42" customHeight="1">
      <x:c r="A72" s="9" t="str">
        <x:v>FT-11</x:v>
      </x:c>
      <x:c r="B72" s="9" t="str">
        <x:v>FT-11-AC04</x:v>
      </x:c>
      <x:c r="C72" s="9" t="str">
        <x:v>Premium cancellation explanations match approved transition timing.</x:v>
      </x:c>
    </x:row>
    <x:row r="73" ht="42" customHeight="1">
      <x:c r="A73" s="9" t="str">
        <x:v>FT-11</x:v>
      </x:c>
      <x:c r="B73" s="9" t="str">
        <x:v>FT-11-AC05</x:v>
      </x:c>
      <x:c r="C73" s="9" t="str">
        <x:v>Trial answers use trial history where relevant without assuming eligibility.</x:v>
      </x:c>
    </x:row>
    <x:row r="74" ht="42" customHeight="1">
      <x:c r="A74" s="9" t="str">
        <x:v>FT-11</x:v>
      </x:c>
      <x:c r="B74" s="9" t="str">
        <x:v>FT-11-AC06</x:v>
      </x:c>
      <x:c r="C74" s="9" t="str">
        <x:v>Monthly, annual, and applicable historical-billing scenarios pass regression tests.</x:v>
      </x:c>
    </x:row>
    <x:row r="75" ht="42" customHeight="1">
      <x:c r="A75" s="9" t="str">
        <x:v>FT-11</x:v>
      </x:c>
      <x:c r="B75" s="9" t="str">
        <x:v>FT-11-AC07</x:v>
      </x:c>
      <x:c r="C75" s="9" t="str">
        <x:v>Multi-turn conversations retain the correct Consumer and entitlement context.</x:v>
      </x:c>
    </x:row>
    <x:row r="76" ht="42" customHeight="1">
      <x:c r="A76" s="9" t="str">
        <x:v>FT-12</x:v>
      </x:c>
      <x:c r="B76" s="9" t="str">
        <x:v>FT-12-AC01</x:v>
      </x:c>
      <x:c r="C76" s="9" t="str">
        <x:v>IVR impact assessment and required changes are approved.</x:v>
      </x:c>
    </x:row>
    <x:row r="77" ht="42" customHeight="1">
      <x:c r="A77" s="9" t="str">
        <x:v>FT-12</x:v>
      </x:c>
      <x:c r="B77" s="9" t="str">
        <x:v>FT-12-AC02</x:v>
      </x:c>
      <x:c r="C77" s="9" t="str">
        <x:v>Prompts accurately distinguish Free Tier and paid subscriptions.</x:v>
      </x:c>
    </x:row>
    <x:row r="78" ht="42" customHeight="1">
      <x:c r="A78" s="9" t="str">
        <x:v>FT-12</x:v>
      </x:c>
      <x:c r="B78" s="9" t="str">
        <x:v>FT-12-AC03</x:v>
      </x:c>
      <x:c r="C78" s="9" t="str">
        <x:v>Account-specific prompts use existing verification requirements.</x:v>
      </x:c>
    </x:row>
    <x:row r="79" ht="42" customHeight="1">
      <x:c r="A79" s="9" t="str">
        <x:v>FT-12</x:v>
      </x:c>
      <x:c r="B79" s="9" t="str">
        <x:v>FT-12-AC04</x:v>
      </x:c>
      <x:c r="C79" s="9" t="str">
        <x:v>Free Tier callers reach the approved destination.</x:v>
      </x:c>
    </x:row>
    <x:row r="80" ht="42" customHeight="1">
      <x:c r="A80" s="9" t="str">
        <x:v>FT-12</x:v>
      </x:c>
      <x:c r="B80" s="9" t="str">
        <x:v>FT-12-AC05</x:v>
      </x:c>
      <x:c r="C80" s="9" t="str">
        <x:v>Lookup failures follow a fallback without blocking callers.</x:v>
      </x:c>
    </x:row>
    <x:row r="81" ht="42" customHeight="1">
      <x:c r="A81" s="9" t="str">
        <x:v>FT-12</x:v>
      </x:c>
      <x:c r="B81" s="9" t="str">
        <x:v>FT-12-AC06</x:v>
      </x:c>
      <x:c r="C81" s="9" t="str">
        <x:v>Existing paid paths pass regression testing.</x:v>
      </x:c>
    </x:row>
    <x:row r="82" ht="42" customHeight="1">
      <x:c r="A82" s="9" t="str">
        <x:v>FT-12</x:v>
      </x:c>
      <x:c r="B82" s="9" t="str">
        <x:v>FT-12-AC07</x:v>
      </x:c>
      <x:c r="C82" s="9" t="str">
        <x:v>If no changes are needed, record the decision and supporting validation.</x:v>
      </x:c>
    </x:row>
    <x:row r="83" ht="42" customHeight="1">
      <x:c r="A83" s="9" t="str">
        <x:v>FT-13</x:v>
      </x:c>
      <x:c r="B83" s="9" t="str">
        <x:v>FT-13-AC01</x:v>
      </x:c>
      <x:c r="C83" s="9" t="str">
        <x:v>Every new Case and Consumer field is available in Cases [C].</x:v>
      </x:c>
    </x:row>
    <x:row r="84" ht="42" customHeight="1">
      <x:c r="A84" s="9" t="str">
        <x:v>FT-13</x:v>
      </x:c>
      <x:c r="B84" s="9" t="str">
        <x:v>FT-13-AC02</x:v>
      </x:c>
      <x:c r="C84" s="9" t="str">
        <x:v>Users can group and filter by monthly, annual, and Free Tier categories.</x:v>
      </x:c>
    </x:row>
    <x:row r="85" ht="42" customHeight="1">
      <x:c r="A85" s="9" t="str">
        <x:v>FT-13</x:v>
      </x:c>
      <x:c r="B85" s="9" t="str">
        <x:v>FT-13-AC03</x:v>
      </x:c>
      <x:c r="C85" s="9" t="str">
        <x:v>Cancel Reason reporting uses the approved category from FT-07.</x:v>
      </x:c>
    </x:row>
    <x:row r="86" ht="42" customHeight="1">
      <x:c r="A86" s="9" t="str">
        <x:v>FT-13</x:v>
      </x:c>
      <x:c r="B86" s="9" t="str">
        <x:v>FT-13-AC04</x:v>
      </x:c>
      <x:c r="C86" s="9" t="str">
        <x:v>Category can be combined with other available Case fields.</x:v>
      </x:c>
    </x:row>
    <x:row r="87" ht="42" customHeight="1">
      <x:c r="A87" s="9" t="str">
        <x:v>FT-13</x:v>
      </x:c>
      <x:c r="B87" s="9" t="str">
        <x:v>FT-13-AC05</x:v>
      </x:c>
      <x:c r="C87" s="9" t="str">
        <x:v>Current entitlement and historical Case category are clearly labeled.</x:v>
      </x:c>
    </x:row>
    <x:row r="88" ht="42" customHeight="1">
      <x:c r="A88" s="9" t="str">
        <x:v>FT-13</x:v>
      </x:c>
      <x:c r="B88" s="9" t="str">
        <x:v>FT-13-AC06</x:v>
      </x:c>
      <x:c r="C88" s="9" t="str">
        <x:v>Missing entitlement or related data does not unintentionally exclude Cases.</x:v>
      </x:c>
    </x:row>
    <x:row r="89" ht="42" customHeight="1">
      <x:c r="A89" s="9" t="str">
        <x:v>FT-13</x:v>
      </x:c>
      <x:c r="B89" s="9" t="str">
        <x:v>FT-13-AC07</x:v>
      </x:c>
      <x:c r="C89" s="9" t="str">
        <x:v>Sample report counts reconcile to approved test data.</x:v>
      </x:c>
    </x:row>
    <x:row r="90" ht="42" customHeight="1">
      <x:c r="A90" s="9" t="str">
        <x:v>FT-13</x:v>
      </x:c>
      <x:c r="B90" s="9" t="str">
        <x:v>FT-13-AC08</x:v>
      </x:c>
      <x:c r="C90" s="9" t="str">
        <x:v>Reports respect field and record permissions.</x:v>
      </x:c>
    </x:row>
    <x:row r="91" ht="42" customHeight="1">
      <x:c r="A91" s="9" t="str">
        <x:v>FT-14</x:v>
      </x:c>
      <x:c r="B91" s="9" t="str">
        <x:v>FT-14-AC01</x:v>
      </x:c>
      <x:c r="C91" s="9" t="str">
        <x:v>Integrated tests cover Free Tier, monthly, annual, prior trials, Premium-to-Free transition, and unknown entitlement.</x:v>
      </x:c>
    </x:row>
    <x:row r="92" ht="42" customHeight="1">
      <x:c r="A92" s="9" t="str">
        <x:v>FT-14</x:v>
      </x:c>
      <x:c r="B92" s="9" t="str">
        <x:v>FT-14-AC02</x:v>
      </x:c>
      <x:c r="C92" s="9" t="str">
        <x:v>Consumer display, Cases, routing, Agentforce, applicable IVR, and reports are consistent.</x:v>
      </x:c>
    </x:row>
    <x:row r="93" ht="42" customHeight="1">
      <x:c r="A93" s="9" t="str">
        <x:v>FT-14</x:v>
      </x:c>
      <x:c r="B93" s="9" t="str">
        <x:v>FT-14-AC03</x:v>
      </x:c>
      <x:c r="C93" s="9" t="str">
        <x:v>Free Tier SUIs pass CR-tab validation.</x:v>
      </x:c>
    </x:row>
    <x:row r="94" ht="42" customHeight="1">
      <x:c r="A94" s="9" t="str">
        <x:v>FT-14</x:v>
      </x:c>
      <x:c r="B94" s="9" t="str">
        <x:v>FT-14-AC04</x:v>
      </x:c>
      <x:c r="C94" s="9" t="str">
        <x:v>No release-blocking defects remain; other defects have an approved disposition.</x:v>
      </x:c>
    </x:row>
    <x:row r="95" ht="42" customHeight="1">
      <x:c r="A95" s="9" t="str">
        <x:v>FT-14</x:v>
      </x:c>
      <x:c r="B95" s="9" t="str">
        <x:v>FT-14-AC05</x:v>
      </x:c>
      <x:c r="C95" s="9" t="str">
        <x:v>Care completes and records UAT acceptance.</x:v>
      </x:c>
    </x:row>
    <x:row r="96" ht="42" customHeight="1">
      <x:c r="A96" s="9" t="str">
        <x:v>FT-14</x:v>
      </x:c>
      <x:c r="B96" s="9" t="str">
        <x:v>FT-14-AC06</x:v>
      </x:c>
      <x:c r="C96" s="9" t="str">
        <x:v>Deployment, data-load validation, monitoring, and recovery procedures are reviewed.</x:v>
      </x:c>
    </x:row>
    <x:row r="97" ht="42" customHeight="1">
      <x:c r="A97" s="9" t="str">
        <x:v>FT-14</x:v>
      </x:c>
      <x:c r="B97" s="9" t="str">
        <x:v>FT-14-AC07</x:v>
      </x:c>
      <x:c r="C97" s="9" t="str">
        <x:v>Care guidance explains new fields, report semantics, and Free Tier limits.</x:v>
      </x:c>
    </x:row>
    <x:row r="98" ht="42" customHeight="1">
      <x:c r="A98" s="9" t="str">
        <x:v>FT-14</x:v>
      </x:c>
      <x:c r="B98" s="9" t="str">
        <x:v>FT-14-AC08</x:v>
      </x:c>
      <x:c r="C98" s="9" t="str">
        <x:v>Out-of-scope tier movement and viewership features are not introduced.</x:v>
      </x:c>
    </x:row>
  </x:sheetData>
  <x:pageMargins left="0.7" right="0.7" top="0.75" bottom="0.75" header="0.3" footer="0.3"/>
  <x:tableParts count="1">
    <x:tablePart xmlns:r="http://schemas.openxmlformats.org/officeDocument/2006/relationships" r:id="R247784668af843a1"/>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24" hidden="0" customWidth="1"/>
    <x:col min="3" max="3" width="115" hidden="0" customWidth="1"/>
  </x:cols>
  <x:sheetData>
    <x:row r="1">
      <x:c r="A1" s="2"/>
      <x:c r="B1" s="2"/>
      <x:c r="C1" s="2"/>
    </x:row>
    <x:row r="2">
      <x:c r="A2" s="3" t="str">
        <x:v>Assumptions and decisions</x:v>
      </x:c>
      <x:c r="B2" s="2"/>
      <x:c r="C2" s="2"/>
    </x:row>
    <x:row r="3">
      <x:c r="A3" s="4"/>
      <x:c r="B3" s="4"/>
      <x:c r="C3" s="4"/>
    </x:row>
    <x:row r="4" ht="32" customHeight="1">
      <x:c r="A4" s="8" t="str">
        <x:v>Category</x:v>
      </x:c>
      <x:c r="B4" s="8" t="str">
        <x:v>Topic</x:v>
      </x:c>
      <x:c r="C4" s="8" t="str">
        <x:v>Detail</x:v>
      </x:c>
    </x:row>
    <x:row r="5" ht="58" customHeight="1">
      <x:c r="A5" s="9" t="str">
        <x:v>Source</x:v>
      </x:c>
      <x:c r="B5" s="9" t="str">
        <x:v>Requirements</x:v>
      </x:c>
      <x:c r="C5" s="9" t="str">
        <x:v>User-provided Free Tier requirements in this conversation; backlog and estimates reflect the preceding proposed Jira breakdown.</x:v>
      </x:c>
    </x:row>
    <x:row r="6" ht="58" customHeight="1">
      <x:c r="A6" s="9" t="str">
        <x:v>Assumption</x:v>
      </x:c>
      <x:c r="B6" s="9" t="str">
        <x:v>Platform</x:v>
      </x:c>
      <x:c r="C6" s="9" t="str">
        <x:v>CareTools/KH is assumed to use Salesforce Consumer, Case, reporting, routing, and Agentforce capabilities. Existing implementation was not inspected.</x:v>
      </x:c>
    </x:row>
    <x:row r="7" ht="58" customHeight="1">
      <x:c r="A7" s="9" t="str">
        <x:v>Assumption</x:v>
      </x:c>
      <x:c r="B7" s="9" t="str">
        <x:v>Upstream data</x:v>
      </x:c>
      <x:c r="C7" s="9" t="str">
        <x:v>An upstream source supplies status, effective date, previous state, and trial usage. New upstream-system engineering is excluded.</x:v>
      </x:c>
    </x:row>
    <x:row r="8" ht="58" customHeight="1">
      <x:c r="A8" s="9" t="str">
        <x:v>Assumption</x:v>
      </x:c>
      <x:c r="B8" s="9" t="str">
        <x:v>Data model</x:v>
      </x:c>
      <x:c r="C8" s="9" t="str">
        <x:v>Free Tier uses dedicated fields; existing subscription Type is not repurposed.</x:v>
      </x:c>
    </x:row>
    <x:row r="9" ht="58" customHeight="1">
      <x:c r="A9" s="9" t="str">
        <x:v>Assumption</x:v>
      </x:c>
      <x:c r="B9" s="9" t="str">
        <x:v>Lifecycle</x:v>
      </x:c>
      <x:c r="C9" s="9" t="str">
        <x:v>Consumers cannot cancel Free Tier. Premium cancellation leads to Free Tier according to authoritative entitlement rules; exact timing is pending.</x:v>
      </x:c>
    </x:row>
    <x:row r="10" ht="58" customHeight="1">
      <x:c r="A10" s="9" t="str">
        <x:v>Assumption</x:v>
      </x:c>
      <x:c r="B10" s="9" t="str">
        <x:v>History</x:v>
      </x:c>
      <x:c r="C10" s="9" t="str">
        <x:v>Preserve paid-subscription history. Current Free Tier has no payment/renewal dates or recurring charge. Previous State is one value, not a movement-history feature.</x:v>
      </x:c>
    </x:row>
    <x:row r="11" ht="58" customHeight="1">
      <x:c r="A11" s="9" t="str">
        <x:v>Assumption</x:v>
      </x:c>
      <x:c r="B11" s="9" t="str">
        <x:v>Staffing</x:v>
      </x:c>
      <x:c r="C11" s="9" t="str">
        <x:v>Two full-time resources with complementary Salesforce/integration and Agentforce/configuration skills. Business, source-system, and IVR owners provide timely decisions/access; their engineering is excluded.</x:v>
      </x:c>
    </x:row>
    <x:row r="12" ht="58" customHeight="1">
      <x:c r="A12" s="9" t="str">
        <x:v>Assumption</x:v>
      </x:c>
      <x:c r="B12" s="9" t="str">
        <x:v>Estimation</x:v>
      </x:c>
      <x:c r="C12" s="9" t="str">
        <x:v>Fibonacci points include implementation, review, and story-level tests. FT-14 covers additional integrated testing and UAT. Velocity is a preliminary team assumption.</x:v>
      </x:c>
    </x:row>
    <x:row r="13" ht="58" customHeight="1">
      <x:c r="A13" s="9" t="str">
        <x:v>Assumption</x:v>
      </x:c>
      <x:c r="B13" s="9" t="str">
        <x:v>Conditional scope</x:v>
      </x:c>
      <x:c r="C13" s="9" t="str">
        <x:v>FT-06, FT-08, and FT-12 total 15 points. Remove their implementation only after Care confirms it is unnecessary. IVR estimate covers modest existing-platform changes.</x:v>
      </x:c>
    </x:row>
    <x:row r="14" ht="58" customHeight="1">
      <x:c r="A14" s="9" t="str">
        <x:v>Decision</x:v>
      </x:c>
      <x:c r="B14" s="9" t="str">
        <x:v>Source readiness</x:v>
      </x:c>
      <x:c r="C14" s="9" t="str">
        <x:v>Confirm availability, quality, ownership, refresh interval, and initial-load requirements for all Free Tier and trial-history values.</x:v>
      </x:c>
    </x:row>
    <x:row r="15" ht="58" customHeight="1">
      <x:c r="A15" s="9" t="str">
        <x:v>Decision</x:v>
      </x:c>
      <x:c r="B15" s="9" t="str">
        <x:v>Transition timing</x:v>
      </x:c>
      <x:c r="C15" s="9" t="str">
        <x:v>Confirm whether Premium cancellation changes entitlement immediately or at the end of the paid period.</x:v>
      </x:c>
    </x:row>
    <x:row r="16" ht="58" customHeight="1">
      <x:c r="A16" s="9" t="str">
        <x:v>Decision</x:v>
      </x:c>
      <x:c r="B16" s="9" t="str">
        <x:v>Case taxonomy</x:v>
      </x:c>
      <x:c r="C16" s="9" t="str">
        <x:v>Confirm required new fields or Cancel Reason values; do not create a Free Tier cancellation action.</x:v>
      </x:c>
    </x:row>
    <x:row r="17" ht="58" customHeight="1">
      <x:c r="A17" s="9" t="str">
        <x:v>Decision</x:v>
      </x:c>
      <x:c r="B17" s="9" t="str">
        <x:v>Queue and priority</x:v>
      </x:c>
      <x:c r="C17" s="9" t="str">
        <x:v>Confirm dedicated queue, membership, fallback routing, and whether paid subscribers receive priority.</x:v>
      </x:c>
    </x:row>
    <x:row r="18" ht="58" customHeight="1">
      <x:c r="A18" s="9" t="str">
        <x:v>Decision</x:v>
      </x:c>
      <x:c r="B18" s="9" t="str">
        <x:v>Reporting semantics</x:v>
      </x:c>
      <x:c r="C18" s="9" t="str">
        <x:v>Approve category event (Case creation/cancellation), handling of cancelled Premium category, and historical backfill. Snapshot approach is a recommendation pending approval.</x:v>
      </x:c>
    </x:row>
    <x:row r="19" ht="58" customHeight="1">
      <x:c r="A19" s="9" t="str">
        <x:v>Decision</x:v>
      </x:c>
      <x:c r="B19" s="9" t="str">
        <x:v>IVR scope</x:v>
      </x:c>
      <x:c r="C19" s="9" t="str">
        <x:v>Confirm prompts, lookup, menus, and routing impacts. New telephony integration requires a new estimate.</x:v>
      </x:c>
    </x:row>
    <x:row r="20" ht="58" customHeight="1">
      <x:c r="A20" s="9" t="str">
        <x:v>Out of scope</x:v>
      </x:c>
      <x:c r="B20" s="9" t="str">
        <x:v>Tier movement</x:v>
      </x:c>
      <x:c r="C20" s="9" t="str">
        <x:v>No upgrade/downgrade or full tier-movement history in CareTools. Use MPP to view movement data.</x:v>
      </x:c>
    </x:row>
    <x:row r="21" ht="58" customHeight="1">
      <x:c r="A21" s="9" t="str">
        <x:v>Out of scope</x:v>
      </x:c>
      <x:c r="B21" s="9" t="str">
        <x:v>Viewership</x:v>
      </x:c>
      <x:c r="C21" s="9" t="str">
        <x:v>No S&amp;R campaign viewership data in CareTools. Use Amplitude.</x:v>
      </x:c>
    </x:row>
    <x:row r="22" ht="58" customHeight="1">
      <x:c r="A22" s="9" t="str">
        <x:v>Superseded</x:v>
      </x:c>
      <x:c r="B22" s="9" t="str">
        <x:v>Original cancellation date</x:v>
      </x:c>
      <x:c r="C22" s="9" t="str">
        <x:v>Do not populate a Free Tier cancellation date or implement Free Tier cancellation; the original requirement was superseded.</x:v>
      </x:c>
    </x:row>
  </x:sheetData>
  <x:pageMargins left="0.7" right="0.7" top="0.75" bottom="0.75" header="0.3" footer="0.3"/>
  <x:tableParts count="1">
    <x:tablePart xmlns:r="http://schemas.openxmlformats.org/officeDocument/2006/relationships" r:id="R7f86c70cd91e45d1"/>
  </x:tableParts>
</x:worksheet>
</file>